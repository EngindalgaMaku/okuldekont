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. KOORDİNATÖRLÜK\2025-2026 ÖĞRETİM YILI\20. DEVLET KATKISI\01. EYLÜL 2025\"/>
    </mc:Choice>
  </mc:AlternateContent>
  <bookViews>
    <workbookView xWindow="0" yWindow="0" windowWidth="23040" windowHeight="7980"/>
  </bookViews>
  <sheets>
    <sheet name="tüm liste" sheetId="1" r:id="rId1"/>
  </sheets>
  <definedNames>
    <definedName name="_xlnm._FilterDatabase" localSheetId="0" hidden="1">'tüm liste'!$A$6:$J$47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G18" i="1"/>
  <c r="G43" i="1"/>
  <c r="I43" i="1" s="1"/>
  <c r="G42" i="1"/>
  <c r="I42" i="1" s="1"/>
  <c r="G46" i="1"/>
  <c r="G44" i="1"/>
  <c r="G45" i="1"/>
  <c r="G35" i="1"/>
  <c r="I35" i="1" s="1"/>
  <c r="G36" i="1"/>
  <c r="I36" i="1" s="1"/>
  <c r="G37" i="1"/>
  <c r="I37" i="1" s="1"/>
  <c r="G38" i="1"/>
  <c r="I38" i="1"/>
  <c r="G39" i="1"/>
  <c r="I39" i="1"/>
  <c r="G40" i="1"/>
  <c r="I40" i="1" s="1"/>
  <c r="G41" i="1"/>
  <c r="I41" i="1" s="1"/>
  <c r="G10" i="1"/>
  <c r="G11" i="1"/>
  <c r="G12" i="1"/>
  <c r="G13" i="1"/>
  <c r="G14" i="1"/>
  <c r="G15" i="1"/>
  <c r="G19" i="1"/>
  <c r="G20" i="1"/>
  <c r="G24" i="1"/>
  <c r="G25" i="1"/>
  <c r="G26" i="1"/>
  <c r="G27" i="1"/>
  <c r="G29" i="1"/>
  <c r="G31" i="1"/>
  <c r="G33" i="1"/>
  <c r="G34" i="1"/>
  <c r="I31" i="1" l="1"/>
  <c r="I29" i="1"/>
  <c r="I34" i="1" l="1"/>
  <c r="I18" i="1"/>
  <c r="I19" i="1"/>
  <c r="I20" i="1"/>
  <c r="I24" i="1"/>
  <c r="I25" i="1"/>
  <c r="I26" i="1"/>
  <c r="I27" i="1"/>
  <c r="I33" i="1"/>
  <c r="I44" i="1"/>
  <c r="I45" i="1"/>
  <c r="I46" i="1"/>
  <c r="I47" i="1"/>
  <c r="I14" i="1"/>
  <c r="I15" i="1"/>
  <c r="I10" i="1" l="1"/>
  <c r="I11" i="1"/>
  <c r="I12" i="1"/>
  <c r="I13" i="1"/>
  <c r="G8" i="1"/>
  <c r="I8" i="1" s="1"/>
</calcChain>
</file>

<file path=xl/sharedStrings.xml><?xml version="1.0" encoding="utf-8"?>
<sst xmlns="http://schemas.openxmlformats.org/spreadsheetml/2006/main" count="218" uniqueCount="109">
  <si>
    <t>Sınıf</t>
  </si>
  <si>
    <t>No</t>
  </si>
  <si>
    <t>Bölüm</t>
  </si>
  <si>
    <t>Adı Soyadı</t>
  </si>
  <si>
    <t>İşletmenin Adı</t>
  </si>
  <si>
    <t>Koordinatör Öğretmen</t>
  </si>
  <si>
    <t>Dvsız</t>
  </si>
  <si>
    <t xml:space="preserve">Dvlı </t>
  </si>
  <si>
    <t>Yusuf Kurt</t>
  </si>
  <si>
    <t>MUHASEBE-FİNANS
Muhasebe</t>
  </si>
  <si>
    <t>İbrahim Gökçe</t>
  </si>
  <si>
    <t>Ahmet Sönmez</t>
  </si>
  <si>
    <t>HÜSNİYE ÖZDİLEK TİCARET MESLEKİ ve TEKNİK ANADOLU LİSESİ</t>
  </si>
  <si>
    <t>Özdener Uğur</t>
  </si>
  <si>
    <t>Veysel Fırat Balcı</t>
  </si>
  <si>
    <t>Sultan Demir Erdem</t>
  </si>
  <si>
    <t>Ömer Demir</t>
  </si>
  <si>
    <t>Tunahan Atakan</t>
  </si>
  <si>
    <t>Zeliha Kaymaz</t>
  </si>
  <si>
    <t>09-MeSeM</t>
  </si>
  <si>
    <t>Enver Yıldırım</t>
  </si>
  <si>
    <t>Mustafa Kara</t>
  </si>
  <si>
    <t>Alper Akdemir</t>
  </si>
  <si>
    <t>Abdullah Köç</t>
  </si>
  <si>
    <t>Cuma Arat</t>
  </si>
  <si>
    <t>Süleyman Yakalı</t>
  </si>
  <si>
    <t>Bayram Bodrumlu</t>
  </si>
  <si>
    <t>Halil Haldan</t>
  </si>
  <si>
    <t>Mustafa Yarbaş</t>
  </si>
  <si>
    <t>Murat Altınok</t>
  </si>
  <si>
    <t>Murat Yaşar Toygun</t>
  </si>
  <si>
    <t xml:space="preserve">Dijlem İletişim </t>
  </si>
  <si>
    <t>Dialog Teknoloji Sistemleri</t>
  </si>
  <si>
    <t>Hüseyin Kaya</t>
  </si>
  <si>
    <t>10-MeSeM</t>
  </si>
  <si>
    <t xml:space="preserve">Ramazan Obalar </t>
  </si>
  <si>
    <t>STM Alüminyum</t>
  </si>
  <si>
    <t>Savaş Başgör</t>
  </si>
  <si>
    <t>Recep Koç</t>
  </si>
  <si>
    <t>11-MeSeM</t>
  </si>
  <si>
    <t>SAMET AKGÜNDÜZ</t>
  </si>
  <si>
    <t>Yılmaz Alıptetrin</t>
  </si>
  <si>
    <t>BİLİŞİM TEKNOLOJİ
Bilg. Tek. Ser.</t>
  </si>
  <si>
    <t>Express Bilgisayar</t>
  </si>
  <si>
    <t>Ali Ulusoy</t>
  </si>
  <si>
    <t>Nezaket Yılmaz</t>
  </si>
  <si>
    <t>Melahat Ünlü</t>
  </si>
  <si>
    <t>Özlem Görünmez</t>
  </si>
  <si>
    <t>Hüseyin Tutar</t>
  </si>
  <si>
    <t>12-MeSeM</t>
  </si>
  <si>
    <t>Hülya Erbulut</t>
  </si>
  <si>
    <t>Fatmana Akar</t>
  </si>
  <si>
    <t>2025-2026 EĞİTİM ÖĞRETİM YILI</t>
  </si>
  <si>
    <t>EYLÜL 2025 DÖNEMİ MESEM GRUBU ÖĞRENCİ MAAŞ TUTARLARI VE İŞLETME DEVLET KATKISI TUTARLARI</t>
  </si>
  <si>
    <t>Elif Poyraz</t>
  </si>
  <si>
    <t>Nejmi Kalender</t>
  </si>
  <si>
    <t>Mehmet Enes Balcı</t>
  </si>
  <si>
    <t>Zehra Yörük</t>
  </si>
  <si>
    <t>Hicran Kahraman</t>
  </si>
  <si>
    <t>Fatma Naz Arabacı</t>
  </si>
  <si>
    <t>Zahide Karagöz</t>
  </si>
  <si>
    <t>Yağmur Coşar</t>
  </si>
  <si>
    <t>Sümeyye Nur Bayram</t>
  </si>
  <si>
    <t>Nilgün Uluyüksel</t>
  </si>
  <si>
    <t>Bayram Gökçe</t>
  </si>
  <si>
    <t>Ayşegül Karaduman</t>
  </si>
  <si>
    <t>Deniz Yılmaz Kaymak</t>
  </si>
  <si>
    <t>Efsanaz Yavaşlar</t>
  </si>
  <si>
    <t>Aleyna Kırca</t>
  </si>
  <si>
    <t>Nisanur Biyikli</t>
  </si>
  <si>
    <t>Gülnihal Türkan</t>
  </si>
  <si>
    <t>Alperen Mert Akbaş</t>
  </si>
  <si>
    <t>Mehmet Berat Toksöz</t>
  </si>
  <si>
    <t>Bediz İliç</t>
  </si>
  <si>
    <t>Koray Tunç Şahmurat</t>
  </si>
  <si>
    <t>Hatice Emel Özdemir</t>
  </si>
  <si>
    <t>Ozan Alıptetrin</t>
  </si>
  <si>
    <t>Yalçın Yiğit Yarbaş</t>
  </si>
  <si>
    <t>Medine Güneş</t>
  </si>
  <si>
    <t>İsmail Öztürk</t>
  </si>
  <si>
    <t>Beritan Sarıca</t>
  </si>
  <si>
    <t>Mustafa Zeybekoğlu</t>
  </si>
  <si>
    <t>Ceylin Yaşar</t>
  </si>
  <si>
    <t>Altan Balçar Acar</t>
  </si>
  <si>
    <t>Nuray Doğancı</t>
  </si>
  <si>
    <t>Kenan Ustaz</t>
  </si>
  <si>
    <t>Bartu Çoban</t>
  </si>
  <si>
    <t>Belinay Ceylin Dağlı</t>
  </si>
  <si>
    <t>Sude Naz Karasu</t>
  </si>
  <si>
    <t>Erkan Canan</t>
  </si>
  <si>
    <t>Yağmur İbek</t>
  </si>
  <si>
    <t>Tuğba Koyuncu</t>
  </si>
  <si>
    <t>Melike Milli</t>
  </si>
  <si>
    <t>Şükrü Tezcan</t>
  </si>
  <si>
    <t>Melike Buse İnci</t>
  </si>
  <si>
    <t>Nehir İşcan</t>
  </si>
  <si>
    <t>Ebrar Kaban</t>
  </si>
  <si>
    <t>Aslı Kazıcı</t>
  </si>
  <si>
    <t>Zehra Keskin</t>
  </si>
  <si>
    <t>Osman Çoban</t>
  </si>
  <si>
    <t>Salih Kılınç</t>
  </si>
  <si>
    <t>Dirmil Hazır Sıva Beton Kireç A.Ş.</t>
  </si>
  <si>
    <t>Mert Göç</t>
  </si>
  <si>
    <t>Erman Ernez</t>
  </si>
  <si>
    <t>Yiğit Umut Aslan</t>
  </si>
  <si>
    <t>Günkum Turizm / Porto Bello Hotel</t>
  </si>
  <si>
    <t>Ömer Kılıç</t>
  </si>
  <si>
    <t>Öğrencinin
Maaş
Tutarı</t>
  </si>
  <si>
    <t>İşletmenin
Devlet
Katkısı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</si>
</sst>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0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0"/>
      <color indexed="8"/>
      <name val="Times New Roman"/>
      <family val="1"/>
      <charset val="162"/>
    </font>
    <font>
      <sz val="12"/>
      <color indexed="8"/>
      <name val="Times New Roman"/>
      <family val="1"/>
      <charset val="162"/>
    </font>
    <font>
      <b/>
      <sz val="9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/>
    <xf numFmtId="17" fontId="6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7" fontId="6" fillId="0" borderId="0" xfId="0" quotePrefix="1" applyNumberFormat="1" applyFont="1" applyFill="1" applyAlignment="1">
      <alignment horizont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/>
    <xf numFmtId="14" fontId="6" fillId="0" borderId="0" xfId="0" quotePrefix="1" applyNumberFormat="1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/>
    </xf>
    <xf numFmtId="17" fontId="6" fillId="0" borderId="0" xfId="0" quotePrefix="1" applyNumberFormat="1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zoomScale="130" zoomScaleNormal="130" workbookViewId="0">
      <selection activeCell="C28" sqref="C28"/>
    </sheetView>
  </sheetViews>
  <sheetFormatPr defaultColWidth="9.109375" defaultRowHeight="13.2" x14ac:dyDescent="0.25"/>
  <cols>
    <col min="1" max="1" width="9.33203125" style="9" customWidth="1"/>
    <col min="2" max="2" width="8.109375" style="9" customWidth="1"/>
    <col min="3" max="3" width="18.109375" style="10" customWidth="1"/>
    <col min="4" max="4" width="19.5546875" style="11" customWidth="1"/>
    <col min="5" max="5" width="16.6640625" style="8" customWidth="1"/>
    <col min="6" max="6" width="26" style="6" customWidth="1"/>
    <col min="7" max="8" width="5.33203125" style="12" customWidth="1"/>
    <col min="9" max="10" width="9.33203125" style="12" customWidth="1"/>
    <col min="11" max="11" width="9.88671875" style="6" bestFit="1" customWidth="1"/>
    <col min="12" max="16384" width="9.109375" style="6"/>
  </cols>
  <sheetData>
    <row r="1" spans="1:10" ht="15" customHeight="1" x14ac:dyDescent="0.3">
      <c r="A1" s="30" t="s">
        <v>12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" customHeight="1" x14ac:dyDescent="0.3">
      <c r="A2" s="31" t="s">
        <v>52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" customHeight="1" x14ac:dyDescent="0.3">
      <c r="A3" s="32" t="s">
        <v>53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15" customHeight="1" x14ac:dyDescent="0.3">
      <c r="A4" s="24"/>
      <c r="B4" s="24"/>
      <c r="C4" s="24"/>
      <c r="D4" s="24"/>
      <c r="E4" s="24"/>
      <c r="F4" s="24"/>
      <c r="G4" s="7"/>
      <c r="H4" s="29">
        <v>45931</v>
      </c>
      <c r="I4" s="29"/>
      <c r="J4" s="8"/>
    </row>
    <row r="5" spans="1:10" ht="15" customHeight="1" x14ac:dyDescent="0.25">
      <c r="I5" s="6"/>
      <c r="J5" s="8"/>
    </row>
    <row r="6" spans="1:10" s="14" customFormat="1" ht="39.6" customHeight="1" x14ac:dyDescent="0.3">
      <c r="A6" s="13" t="s">
        <v>0</v>
      </c>
      <c r="B6" s="13" t="s">
        <v>1</v>
      </c>
      <c r="C6" s="13" t="s">
        <v>2</v>
      </c>
      <c r="D6" s="13" t="s">
        <v>3</v>
      </c>
      <c r="E6" s="13" t="s">
        <v>5</v>
      </c>
      <c r="F6" s="13" t="s">
        <v>4</v>
      </c>
      <c r="G6" s="13" t="s">
        <v>7</v>
      </c>
      <c r="H6" s="13" t="s">
        <v>6</v>
      </c>
      <c r="I6" s="50" t="s">
        <v>107</v>
      </c>
      <c r="J6" s="50" t="s">
        <v>108</v>
      </c>
    </row>
    <row r="7" spans="1:10" ht="30" customHeight="1" x14ac:dyDescent="0.25">
      <c r="A7" s="3" t="s">
        <v>49</v>
      </c>
      <c r="B7" s="3">
        <v>202416</v>
      </c>
      <c r="C7" s="2" t="s">
        <v>9</v>
      </c>
      <c r="D7" s="23" t="s">
        <v>40</v>
      </c>
      <c r="E7" s="1" t="s">
        <v>11</v>
      </c>
      <c r="F7" s="1" t="s">
        <v>41</v>
      </c>
      <c r="G7" s="2">
        <v>9</v>
      </c>
      <c r="H7" s="4">
        <v>0</v>
      </c>
      <c r="I7" s="5">
        <v>3315.7</v>
      </c>
      <c r="J7" s="3">
        <v>3315.7</v>
      </c>
    </row>
    <row r="8" spans="1:10" ht="30" customHeight="1" x14ac:dyDescent="0.25">
      <c r="A8" s="3" t="s">
        <v>39</v>
      </c>
      <c r="B8" s="33">
        <v>202423</v>
      </c>
      <c r="C8" s="2" t="s">
        <v>9</v>
      </c>
      <c r="D8" s="34" t="s">
        <v>54</v>
      </c>
      <c r="E8" s="35" t="s">
        <v>55</v>
      </c>
      <c r="F8" s="35" t="s">
        <v>47</v>
      </c>
      <c r="G8" s="2">
        <f>30-H8</f>
        <v>30</v>
      </c>
      <c r="H8" s="4">
        <v>0</v>
      </c>
      <c r="I8" s="5">
        <f t="shared" ref="I8:I47" si="0">(6631.4/30)*G8</f>
        <v>6631.4</v>
      </c>
      <c r="J8" s="3"/>
    </row>
    <row r="9" spans="1:10" ht="30" customHeight="1" x14ac:dyDescent="0.25">
      <c r="A9" s="3" t="s">
        <v>39</v>
      </c>
      <c r="B9" s="33">
        <v>202427</v>
      </c>
      <c r="C9" s="2" t="s">
        <v>9</v>
      </c>
      <c r="D9" s="34" t="s">
        <v>56</v>
      </c>
      <c r="E9" s="35" t="s">
        <v>11</v>
      </c>
      <c r="F9" s="36" t="s">
        <v>14</v>
      </c>
      <c r="G9" s="2">
        <v>30</v>
      </c>
      <c r="H9" s="4">
        <v>0</v>
      </c>
      <c r="I9" s="5">
        <v>6631.4</v>
      </c>
      <c r="J9" s="51">
        <v>6631.4</v>
      </c>
    </row>
    <row r="10" spans="1:10" ht="30" customHeight="1" x14ac:dyDescent="0.25">
      <c r="A10" s="21" t="s">
        <v>39</v>
      </c>
      <c r="B10" s="37">
        <v>202432</v>
      </c>
      <c r="C10" s="22" t="s">
        <v>9</v>
      </c>
      <c r="D10" s="34" t="s">
        <v>57</v>
      </c>
      <c r="E10" s="35" t="s">
        <v>55</v>
      </c>
      <c r="F10" s="38" t="s">
        <v>36</v>
      </c>
      <c r="G10" s="2">
        <f t="shared" ref="G10:G41" si="1">30-H10</f>
        <v>30</v>
      </c>
      <c r="H10" s="4">
        <v>0</v>
      </c>
      <c r="I10" s="5">
        <f t="shared" si="0"/>
        <v>6631.4</v>
      </c>
      <c r="J10" s="3"/>
    </row>
    <row r="11" spans="1:10" ht="30" customHeight="1" x14ac:dyDescent="0.25">
      <c r="A11" s="21" t="s">
        <v>39</v>
      </c>
      <c r="B11" s="39">
        <v>202434</v>
      </c>
      <c r="C11" s="2" t="s">
        <v>9</v>
      </c>
      <c r="D11" s="34" t="s">
        <v>58</v>
      </c>
      <c r="E11" s="35" t="s">
        <v>11</v>
      </c>
      <c r="F11" s="36" t="s">
        <v>37</v>
      </c>
      <c r="G11" s="2">
        <f t="shared" si="1"/>
        <v>30</v>
      </c>
      <c r="H11" s="4">
        <v>0</v>
      </c>
      <c r="I11" s="5">
        <f t="shared" si="0"/>
        <v>6631.4</v>
      </c>
      <c r="J11" s="3"/>
    </row>
    <row r="12" spans="1:10" ht="30" customHeight="1" x14ac:dyDescent="0.25">
      <c r="A12" s="21" t="s">
        <v>39</v>
      </c>
      <c r="B12" s="40">
        <v>202438</v>
      </c>
      <c r="C12" s="22" t="s">
        <v>9</v>
      </c>
      <c r="D12" s="34" t="s">
        <v>59</v>
      </c>
      <c r="E12" s="35" t="s">
        <v>10</v>
      </c>
      <c r="F12" s="35" t="s">
        <v>48</v>
      </c>
      <c r="G12" s="2">
        <f t="shared" si="1"/>
        <v>28</v>
      </c>
      <c r="H12" s="4">
        <v>2</v>
      </c>
      <c r="I12" s="5">
        <f t="shared" si="0"/>
        <v>6189.3066666666664</v>
      </c>
      <c r="J12" s="3"/>
    </row>
    <row r="13" spans="1:10" ht="30" customHeight="1" x14ac:dyDescent="0.25">
      <c r="A13" s="21" t="s">
        <v>39</v>
      </c>
      <c r="B13" s="40">
        <v>202441</v>
      </c>
      <c r="C13" s="22" t="s">
        <v>9</v>
      </c>
      <c r="D13" s="34" t="s">
        <v>60</v>
      </c>
      <c r="E13" s="35" t="s">
        <v>22</v>
      </c>
      <c r="F13" s="35" t="s">
        <v>38</v>
      </c>
      <c r="G13" s="2">
        <f t="shared" si="1"/>
        <v>30</v>
      </c>
      <c r="H13" s="4">
        <v>0</v>
      </c>
      <c r="I13" s="5">
        <f t="shared" si="0"/>
        <v>6631.4</v>
      </c>
      <c r="J13" s="3"/>
    </row>
    <row r="14" spans="1:10" ht="30" customHeight="1" x14ac:dyDescent="0.25">
      <c r="A14" s="3" t="s">
        <v>39</v>
      </c>
      <c r="B14" s="40">
        <v>202443</v>
      </c>
      <c r="C14" s="22" t="s">
        <v>9</v>
      </c>
      <c r="D14" s="34" t="s">
        <v>61</v>
      </c>
      <c r="E14" s="35" t="s">
        <v>10</v>
      </c>
      <c r="F14" s="35" t="s">
        <v>28</v>
      </c>
      <c r="G14" s="2">
        <f t="shared" si="1"/>
        <v>30</v>
      </c>
      <c r="H14" s="4">
        <v>0</v>
      </c>
      <c r="I14" s="5">
        <f t="shared" si="0"/>
        <v>6631.4</v>
      </c>
      <c r="J14" s="3"/>
    </row>
    <row r="15" spans="1:10" ht="30" customHeight="1" x14ac:dyDescent="0.25">
      <c r="A15" s="21" t="s">
        <v>39</v>
      </c>
      <c r="B15" s="40">
        <v>202444</v>
      </c>
      <c r="C15" s="22" t="s">
        <v>9</v>
      </c>
      <c r="D15" s="34" t="s">
        <v>62</v>
      </c>
      <c r="E15" s="35" t="s">
        <v>63</v>
      </c>
      <c r="F15" s="35" t="s">
        <v>64</v>
      </c>
      <c r="G15" s="2">
        <f t="shared" si="1"/>
        <v>30</v>
      </c>
      <c r="H15" s="4">
        <v>0</v>
      </c>
      <c r="I15" s="5">
        <f t="shared" si="0"/>
        <v>6631.4</v>
      </c>
      <c r="J15" s="3"/>
    </row>
    <row r="16" spans="1:10" ht="30" customHeight="1" x14ac:dyDescent="0.25">
      <c r="A16" s="21" t="s">
        <v>34</v>
      </c>
      <c r="B16" s="37">
        <v>202421</v>
      </c>
      <c r="C16" s="22" t="s">
        <v>9</v>
      </c>
      <c r="D16" s="34" t="s">
        <v>65</v>
      </c>
      <c r="E16" s="35" t="s">
        <v>66</v>
      </c>
      <c r="F16" s="35" t="s">
        <v>35</v>
      </c>
      <c r="G16" s="2">
        <v>30</v>
      </c>
      <c r="H16" s="4">
        <v>0</v>
      </c>
      <c r="I16" s="5">
        <v>6631.4</v>
      </c>
      <c r="J16" s="51">
        <v>6631.4</v>
      </c>
    </row>
    <row r="17" spans="1:11" ht="30" customHeight="1" x14ac:dyDescent="0.25">
      <c r="A17" s="3" t="s">
        <v>34</v>
      </c>
      <c r="B17" s="33">
        <v>202422</v>
      </c>
      <c r="C17" s="2" t="s">
        <v>9</v>
      </c>
      <c r="D17" s="34" t="s">
        <v>67</v>
      </c>
      <c r="E17" s="35" t="s">
        <v>10</v>
      </c>
      <c r="F17" s="36" t="s">
        <v>46</v>
      </c>
      <c r="G17" s="2">
        <v>30</v>
      </c>
      <c r="H17" s="4">
        <v>0</v>
      </c>
      <c r="I17" s="5">
        <v>6631.4</v>
      </c>
      <c r="J17" s="51">
        <v>6631.4</v>
      </c>
    </row>
    <row r="18" spans="1:11" ht="30" customHeight="1" x14ac:dyDescent="0.25">
      <c r="A18" s="21" t="s">
        <v>34</v>
      </c>
      <c r="B18" s="40">
        <v>202437</v>
      </c>
      <c r="C18" s="22" t="s">
        <v>9</v>
      </c>
      <c r="D18" s="34" t="s">
        <v>68</v>
      </c>
      <c r="E18" s="36" t="s">
        <v>55</v>
      </c>
      <c r="F18" s="35" t="s">
        <v>21</v>
      </c>
      <c r="G18" s="2">
        <f>19-H18</f>
        <v>19</v>
      </c>
      <c r="H18" s="4">
        <v>0</v>
      </c>
      <c r="I18" s="5">
        <f t="shared" si="0"/>
        <v>4199.8866666666663</v>
      </c>
      <c r="J18" s="3"/>
    </row>
    <row r="19" spans="1:11" ht="30" customHeight="1" x14ac:dyDescent="0.25">
      <c r="A19" s="21" t="s">
        <v>34</v>
      </c>
      <c r="B19" s="40">
        <v>202442</v>
      </c>
      <c r="C19" s="22" t="s">
        <v>9</v>
      </c>
      <c r="D19" s="34" t="s">
        <v>69</v>
      </c>
      <c r="E19" s="35" t="s">
        <v>22</v>
      </c>
      <c r="F19" s="35" t="s">
        <v>23</v>
      </c>
      <c r="G19" s="2">
        <f t="shared" si="1"/>
        <v>29</v>
      </c>
      <c r="H19" s="4">
        <v>1</v>
      </c>
      <c r="I19" s="5">
        <f t="shared" si="0"/>
        <v>6410.3533333333326</v>
      </c>
      <c r="J19" s="3"/>
    </row>
    <row r="20" spans="1:11" ht="30" customHeight="1" x14ac:dyDescent="0.25">
      <c r="A20" s="21" t="s">
        <v>34</v>
      </c>
      <c r="B20" s="40">
        <v>202445</v>
      </c>
      <c r="C20" s="22" t="s">
        <v>9</v>
      </c>
      <c r="D20" s="34" t="s">
        <v>70</v>
      </c>
      <c r="E20" s="36" t="s">
        <v>66</v>
      </c>
      <c r="F20" s="35" t="s">
        <v>16</v>
      </c>
      <c r="G20" s="2">
        <f t="shared" si="1"/>
        <v>30</v>
      </c>
      <c r="H20" s="4">
        <v>0</v>
      </c>
      <c r="I20" s="5">
        <f t="shared" si="0"/>
        <v>6631.4</v>
      </c>
      <c r="J20" s="3"/>
    </row>
    <row r="21" spans="1:11" ht="30" customHeight="1" x14ac:dyDescent="0.25">
      <c r="A21" s="21" t="s">
        <v>34</v>
      </c>
      <c r="B21" s="40">
        <v>202446</v>
      </c>
      <c r="C21" s="22" t="s">
        <v>42</v>
      </c>
      <c r="D21" s="34" t="s">
        <v>71</v>
      </c>
      <c r="E21" s="36" t="s">
        <v>8</v>
      </c>
      <c r="F21" s="35" t="s">
        <v>13</v>
      </c>
      <c r="G21" s="2">
        <v>30</v>
      </c>
      <c r="H21" s="4">
        <v>0</v>
      </c>
      <c r="I21" s="5">
        <v>6631.4</v>
      </c>
      <c r="J21" s="51">
        <v>6631.4</v>
      </c>
    </row>
    <row r="22" spans="1:11" ht="30" customHeight="1" x14ac:dyDescent="0.25">
      <c r="A22" s="21" t="s">
        <v>34</v>
      </c>
      <c r="B22" s="40">
        <v>202448</v>
      </c>
      <c r="C22" s="22" t="s">
        <v>42</v>
      </c>
      <c r="D22" s="34" t="s">
        <v>72</v>
      </c>
      <c r="E22" s="36" t="s">
        <v>73</v>
      </c>
      <c r="F22" s="35" t="s">
        <v>26</v>
      </c>
      <c r="G22" s="2">
        <v>30</v>
      </c>
      <c r="H22" s="4">
        <v>5</v>
      </c>
      <c r="I22" s="5">
        <v>6631.4</v>
      </c>
      <c r="J22" s="51">
        <v>6631.4</v>
      </c>
    </row>
    <row r="23" spans="1:11" ht="30" customHeight="1" x14ac:dyDescent="0.25">
      <c r="A23" s="21" t="s">
        <v>34</v>
      </c>
      <c r="B23" s="40">
        <v>202449</v>
      </c>
      <c r="C23" s="22" t="s">
        <v>42</v>
      </c>
      <c r="D23" s="34" t="s">
        <v>74</v>
      </c>
      <c r="E23" s="35" t="s">
        <v>75</v>
      </c>
      <c r="F23" s="35" t="s">
        <v>43</v>
      </c>
      <c r="G23" s="2">
        <v>30</v>
      </c>
      <c r="H23" s="4">
        <v>0</v>
      </c>
      <c r="I23" s="5">
        <v>6631.4</v>
      </c>
      <c r="J23" s="51">
        <v>6631.4</v>
      </c>
    </row>
    <row r="24" spans="1:11" ht="30" customHeight="1" x14ac:dyDescent="0.25">
      <c r="A24" s="21" t="s">
        <v>34</v>
      </c>
      <c r="B24" s="40">
        <v>202450</v>
      </c>
      <c r="C24" s="22" t="s">
        <v>9</v>
      </c>
      <c r="D24" s="34" t="s">
        <v>76</v>
      </c>
      <c r="E24" s="36" t="s">
        <v>66</v>
      </c>
      <c r="F24" s="35" t="s">
        <v>27</v>
      </c>
      <c r="G24" s="2">
        <f t="shared" si="1"/>
        <v>30</v>
      </c>
      <c r="H24" s="4">
        <v>0</v>
      </c>
      <c r="I24" s="5">
        <f t="shared" si="0"/>
        <v>6631.4</v>
      </c>
      <c r="J24" s="3"/>
    </row>
    <row r="25" spans="1:11" ht="30" customHeight="1" x14ac:dyDescent="0.25">
      <c r="A25" s="21" t="s">
        <v>34</v>
      </c>
      <c r="B25" s="40">
        <v>202451</v>
      </c>
      <c r="C25" s="22" t="s">
        <v>9</v>
      </c>
      <c r="D25" s="34" t="s">
        <v>77</v>
      </c>
      <c r="E25" s="35" t="s">
        <v>10</v>
      </c>
      <c r="F25" s="35" t="s">
        <v>28</v>
      </c>
      <c r="G25" s="2">
        <f t="shared" si="1"/>
        <v>30</v>
      </c>
      <c r="H25" s="4">
        <v>0</v>
      </c>
      <c r="I25" s="5">
        <f t="shared" si="0"/>
        <v>6631.4</v>
      </c>
      <c r="J25" s="3"/>
    </row>
    <row r="26" spans="1:11" ht="30" customHeight="1" x14ac:dyDescent="0.25">
      <c r="A26" s="21" t="s">
        <v>34</v>
      </c>
      <c r="B26" s="40">
        <v>202453</v>
      </c>
      <c r="C26" s="22" t="s">
        <v>9</v>
      </c>
      <c r="D26" s="34" t="s">
        <v>78</v>
      </c>
      <c r="E26" s="35" t="s">
        <v>55</v>
      </c>
      <c r="F26" s="36" t="s">
        <v>29</v>
      </c>
      <c r="G26" s="2">
        <f t="shared" si="1"/>
        <v>29</v>
      </c>
      <c r="H26" s="4">
        <v>1</v>
      </c>
      <c r="I26" s="5">
        <f t="shared" si="0"/>
        <v>6410.3533333333326</v>
      </c>
      <c r="J26" s="3"/>
    </row>
    <row r="27" spans="1:11" ht="30" customHeight="1" x14ac:dyDescent="0.25">
      <c r="A27" s="21" t="s">
        <v>34</v>
      </c>
      <c r="B27" s="40">
        <v>202454</v>
      </c>
      <c r="C27" s="22" t="s">
        <v>9</v>
      </c>
      <c r="D27" s="34" t="s">
        <v>79</v>
      </c>
      <c r="E27" s="35" t="s">
        <v>11</v>
      </c>
      <c r="F27" s="35" t="s">
        <v>30</v>
      </c>
      <c r="G27" s="2">
        <f t="shared" si="1"/>
        <v>29</v>
      </c>
      <c r="H27" s="4">
        <v>1</v>
      </c>
      <c r="I27" s="5">
        <f t="shared" si="0"/>
        <v>6410.3533333333326</v>
      </c>
      <c r="J27" s="3"/>
    </row>
    <row r="28" spans="1:11" ht="30" customHeight="1" x14ac:dyDescent="0.25">
      <c r="A28" s="21" t="s">
        <v>34</v>
      </c>
      <c r="B28" s="40">
        <v>202455</v>
      </c>
      <c r="C28" s="22" t="s">
        <v>42</v>
      </c>
      <c r="D28" s="34" t="s">
        <v>80</v>
      </c>
      <c r="E28" s="35" t="s">
        <v>81</v>
      </c>
      <c r="F28" s="35" t="s">
        <v>31</v>
      </c>
      <c r="G28" s="2">
        <v>29</v>
      </c>
      <c r="H28" s="4">
        <v>1</v>
      </c>
      <c r="I28" s="5">
        <v>6410.35</v>
      </c>
      <c r="J28" s="3">
        <v>6410.35</v>
      </c>
    </row>
    <row r="29" spans="1:11" ht="30" customHeight="1" x14ac:dyDescent="0.25">
      <c r="A29" s="21" t="s">
        <v>34</v>
      </c>
      <c r="B29" s="41">
        <v>202456</v>
      </c>
      <c r="C29" s="2" t="s">
        <v>9</v>
      </c>
      <c r="D29" s="34" t="s">
        <v>82</v>
      </c>
      <c r="E29" s="35" t="s">
        <v>10</v>
      </c>
      <c r="F29" s="36" t="s">
        <v>17</v>
      </c>
      <c r="G29" s="2">
        <f t="shared" si="1"/>
        <v>26</v>
      </c>
      <c r="H29" s="4">
        <v>4</v>
      </c>
      <c r="I29" s="5">
        <f t="shared" ref="I29" si="2">(6631.4/30)*G29</f>
        <v>5747.2133333333331</v>
      </c>
      <c r="J29" s="3"/>
      <c r="K29" s="28"/>
    </row>
    <row r="30" spans="1:11" ht="30" customHeight="1" x14ac:dyDescent="0.25">
      <c r="A30" s="42" t="s">
        <v>34</v>
      </c>
      <c r="B30" s="44">
        <v>202460</v>
      </c>
      <c r="C30" s="43" t="s">
        <v>42</v>
      </c>
      <c r="D30" s="45" t="s">
        <v>83</v>
      </c>
      <c r="E30" s="46" t="s">
        <v>8</v>
      </c>
      <c r="F30" s="47" t="s">
        <v>32</v>
      </c>
      <c r="G30" s="43">
        <v>4</v>
      </c>
      <c r="H30" s="52">
        <v>1</v>
      </c>
      <c r="I30" s="53">
        <v>884.18</v>
      </c>
      <c r="J30" s="42">
        <v>884.18</v>
      </c>
      <c r="K30" s="28"/>
    </row>
    <row r="31" spans="1:11" ht="30" customHeight="1" x14ac:dyDescent="0.25">
      <c r="A31" s="21" t="s">
        <v>34</v>
      </c>
      <c r="B31" s="40">
        <v>202506</v>
      </c>
      <c r="C31" s="22" t="s">
        <v>9</v>
      </c>
      <c r="D31" s="34" t="s">
        <v>84</v>
      </c>
      <c r="E31" s="35" t="s">
        <v>55</v>
      </c>
      <c r="F31" s="35" t="s">
        <v>24</v>
      </c>
      <c r="G31" s="2">
        <f t="shared" si="1"/>
        <v>30</v>
      </c>
      <c r="H31" s="4">
        <v>0</v>
      </c>
      <c r="I31" s="5">
        <f t="shared" ref="I31" si="3">(6631.4/30)*G31</f>
        <v>6631.4</v>
      </c>
      <c r="J31" s="3"/>
      <c r="K31" s="28"/>
    </row>
    <row r="32" spans="1:11" ht="30" customHeight="1" x14ac:dyDescent="0.25">
      <c r="A32" s="21" t="s">
        <v>34</v>
      </c>
      <c r="B32" s="41">
        <v>202512</v>
      </c>
      <c r="C32" s="22" t="s">
        <v>42</v>
      </c>
      <c r="D32" s="34" t="s">
        <v>85</v>
      </c>
      <c r="E32" s="36" t="s">
        <v>73</v>
      </c>
      <c r="F32" s="35" t="s">
        <v>26</v>
      </c>
      <c r="G32" s="2">
        <v>7</v>
      </c>
      <c r="H32" s="4">
        <v>0</v>
      </c>
      <c r="I32" s="5">
        <v>1547.32</v>
      </c>
      <c r="J32" s="3">
        <v>1547.32</v>
      </c>
    </row>
    <row r="33" spans="1:10" ht="30" customHeight="1" x14ac:dyDescent="0.25">
      <c r="A33" s="21" t="s">
        <v>19</v>
      </c>
      <c r="B33" s="40">
        <v>202447</v>
      </c>
      <c r="C33" s="22" t="s">
        <v>9</v>
      </c>
      <c r="D33" s="34" t="s">
        <v>86</v>
      </c>
      <c r="E33" s="35" t="s">
        <v>63</v>
      </c>
      <c r="F33" s="35" t="s">
        <v>25</v>
      </c>
      <c r="G33" s="2">
        <f t="shared" si="1"/>
        <v>29</v>
      </c>
      <c r="H33" s="4">
        <v>1</v>
      </c>
      <c r="I33" s="5">
        <f t="shared" si="0"/>
        <v>6410.3533333333326</v>
      </c>
      <c r="J33" s="3"/>
    </row>
    <row r="34" spans="1:10" ht="30" customHeight="1" x14ac:dyDescent="0.25">
      <c r="A34" s="21" t="s">
        <v>19</v>
      </c>
      <c r="B34" s="40">
        <v>202452</v>
      </c>
      <c r="C34" s="22" t="s">
        <v>9</v>
      </c>
      <c r="D34" s="34" t="s">
        <v>87</v>
      </c>
      <c r="E34" s="36" t="s">
        <v>11</v>
      </c>
      <c r="F34" s="35" t="s">
        <v>44</v>
      </c>
      <c r="G34" s="2">
        <f t="shared" si="1"/>
        <v>27</v>
      </c>
      <c r="H34" s="4">
        <v>3</v>
      </c>
      <c r="I34" s="5">
        <f t="shared" si="0"/>
        <v>5968.2599999999993</v>
      </c>
      <c r="J34" s="3"/>
    </row>
    <row r="35" spans="1:10" ht="30" customHeight="1" x14ac:dyDescent="0.25">
      <c r="A35" s="3" t="s">
        <v>19</v>
      </c>
      <c r="B35" s="41">
        <v>202464</v>
      </c>
      <c r="C35" s="22" t="s">
        <v>9</v>
      </c>
      <c r="D35" s="34" t="s">
        <v>88</v>
      </c>
      <c r="E35" s="36" t="s">
        <v>89</v>
      </c>
      <c r="F35" s="36" t="s">
        <v>45</v>
      </c>
      <c r="G35" s="2">
        <f t="shared" si="1"/>
        <v>28</v>
      </c>
      <c r="H35" s="4">
        <v>2</v>
      </c>
      <c r="I35" s="5">
        <f t="shared" ref="I35:I43" si="4">(6631.4/30)*G35</f>
        <v>6189.3066666666664</v>
      </c>
      <c r="J35" s="3"/>
    </row>
    <row r="36" spans="1:10" ht="30" customHeight="1" x14ac:dyDescent="0.25">
      <c r="A36" s="21" t="s">
        <v>19</v>
      </c>
      <c r="B36" s="40">
        <v>202501</v>
      </c>
      <c r="C36" s="22" t="s">
        <v>9</v>
      </c>
      <c r="D36" s="34" t="s">
        <v>90</v>
      </c>
      <c r="E36" s="48" t="s">
        <v>63</v>
      </c>
      <c r="F36" s="35" t="s">
        <v>33</v>
      </c>
      <c r="G36" s="2">
        <f t="shared" si="1"/>
        <v>30</v>
      </c>
      <c r="H36" s="4">
        <v>0</v>
      </c>
      <c r="I36" s="5">
        <f t="shared" si="4"/>
        <v>6631.4</v>
      </c>
      <c r="J36" s="3"/>
    </row>
    <row r="37" spans="1:10" ht="30" customHeight="1" x14ac:dyDescent="0.25">
      <c r="A37" s="21" t="s">
        <v>19</v>
      </c>
      <c r="B37" s="40">
        <v>202502</v>
      </c>
      <c r="C37" s="22" t="s">
        <v>9</v>
      </c>
      <c r="D37" s="34" t="s">
        <v>91</v>
      </c>
      <c r="E37" s="36" t="s">
        <v>66</v>
      </c>
      <c r="F37" s="48" t="s">
        <v>18</v>
      </c>
      <c r="G37" s="2">
        <f t="shared" si="1"/>
        <v>30</v>
      </c>
      <c r="H37" s="4">
        <v>0</v>
      </c>
      <c r="I37" s="5">
        <f t="shared" si="4"/>
        <v>6631.4</v>
      </c>
      <c r="J37" s="3"/>
    </row>
    <row r="38" spans="1:10" ht="30" customHeight="1" x14ac:dyDescent="0.25">
      <c r="A38" s="21" t="s">
        <v>19</v>
      </c>
      <c r="B38" s="40">
        <v>202503</v>
      </c>
      <c r="C38" s="22" t="s">
        <v>9</v>
      </c>
      <c r="D38" s="34" t="s">
        <v>92</v>
      </c>
      <c r="E38" s="35" t="s">
        <v>20</v>
      </c>
      <c r="F38" s="35" t="s">
        <v>15</v>
      </c>
      <c r="G38" s="2">
        <f t="shared" si="1"/>
        <v>30</v>
      </c>
      <c r="H38" s="4">
        <v>0</v>
      </c>
      <c r="I38" s="5">
        <f t="shared" si="4"/>
        <v>6631.4</v>
      </c>
      <c r="J38" s="3"/>
    </row>
    <row r="39" spans="1:10" ht="30" customHeight="1" x14ac:dyDescent="0.25">
      <c r="A39" s="21" t="s">
        <v>19</v>
      </c>
      <c r="B39" s="40">
        <v>202504</v>
      </c>
      <c r="C39" s="22" t="s">
        <v>9</v>
      </c>
      <c r="D39" s="34" t="s">
        <v>93</v>
      </c>
      <c r="E39" s="35" t="s">
        <v>63</v>
      </c>
      <c r="F39" s="35" t="s">
        <v>33</v>
      </c>
      <c r="G39" s="2">
        <f t="shared" si="1"/>
        <v>29</v>
      </c>
      <c r="H39" s="4">
        <v>1</v>
      </c>
      <c r="I39" s="5">
        <f t="shared" si="4"/>
        <v>6410.3533333333326</v>
      </c>
      <c r="J39" s="3"/>
    </row>
    <row r="40" spans="1:10" ht="30" customHeight="1" x14ac:dyDescent="0.25">
      <c r="A40" s="21" t="s">
        <v>19</v>
      </c>
      <c r="B40" s="40">
        <v>202505</v>
      </c>
      <c r="C40" s="22" t="s">
        <v>9</v>
      </c>
      <c r="D40" s="34" t="s">
        <v>94</v>
      </c>
      <c r="E40" s="36" t="s">
        <v>63</v>
      </c>
      <c r="F40" s="36" t="s">
        <v>50</v>
      </c>
      <c r="G40" s="2">
        <f t="shared" si="1"/>
        <v>30</v>
      </c>
      <c r="H40" s="4">
        <v>0</v>
      </c>
      <c r="I40" s="5">
        <f t="shared" si="4"/>
        <v>6631.4</v>
      </c>
      <c r="J40" s="3"/>
    </row>
    <row r="41" spans="1:10" ht="30" customHeight="1" x14ac:dyDescent="0.25">
      <c r="A41" s="21" t="s">
        <v>19</v>
      </c>
      <c r="B41" s="40">
        <v>202507</v>
      </c>
      <c r="C41" s="22" t="s">
        <v>9</v>
      </c>
      <c r="D41" s="34" t="s">
        <v>95</v>
      </c>
      <c r="E41" s="48" t="s">
        <v>20</v>
      </c>
      <c r="F41" s="48" t="s">
        <v>51</v>
      </c>
      <c r="G41" s="2">
        <f t="shared" si="1"/>
        <v>28</v>
      </c>
      <c r="H41" s="4">
        <v>2</v>
      </c>
      <c r="I41" s="5">
        <f t="shared" si="4"/>
        <v>6189.3066666666664</v>
      </c>
      <c r="J41" s="3"/>
    </row>
    <row r="42" spans="1:10" ht="30" customHeight="1" x14ac:dyDescent="0.25">
      <c r="A42" s="21" t="s">
        <v>19</v>
      </c>
      <c r="B42" s="40">
        <v>202508</v>
      </c>
      <c r="C42" s="22" t="s">
        <v>9</v>
      </c>
      <c r="D42" s="49" t="s">
        <v>96</v>
      </c>
      <c r="E42" s="35" t="s">
        <v>10</v>
      </c>
      <c r="F42" s="35" t="s">
        <v>97</v>
      </c>
      <c r="G42" s="2">
        <f>23-H42</f>
        <v>23</v>
      </c>
      <c r="H42" s="4">
        <v>0</v>
      </c>
      <c r="I42" s="5">
        <f t="shared" si="4"/>
        <v>5084.0733333333328</v>
      </c>
      <c r="J42" s="3"/>
    </row>
    <row r="43" spans="1:10" ht="30" customHeight="1" x14ac:dyDescent="0.25">
      <c r="A43" s="21" t="s">
        <v>19</v>
      </c>
      <c r="B43" s="40">
        <v>202509</v>
      </c>
      <c r="C43" s="22" t="s">
        <v>9</v>
      </c>
      <c r="D43" s="49" t="s">
        <v>98</v>
      </c>
      <c r="E43" s="35" t="s">
        <v>10</v>
      </c>
      <c r="F43" s="35" t="s">
        <v>99</v>
      </c>
      <c r="G43" s="2">
        <f>13-H43</f>
        <v>13</v>
      </c>
      <c r="H43" s="4">
        <v>0</v>
      </c>
      <c r="I43" s="5">
        <f t="shared" si="4"/>
        <v>2873.6066666666666</v>
      </c>
      <c r="J43" s="3"/>
    </row>
    <row r="44" spans="1:10" ht="30" customHeight="1" x14ac:dyDescent="0.25">
      <c r="A44" s="21" t="s">
        <v>19</v>
      </c>
      <c r="B44" s="40">
        <v>202510</v>
      </c>
      <c r="C44" s="22" t="s">
        <v>9</v>
      </c>
      <c r="D44" s="49" t="s">
        <v>100</v>
      </c>
      <c r="E44" s="35" t="s">
        <v>55</v>
      </c>
      <c r="F44" s="35" t="s">
        <v>101</v>
      </c>
      <c r="G44" s="2">
        <f>9-H44</f>
        <v>9</v>
      </c>
      <c r="H44" s="4">
        <v>0</v>
      </c>
      <c r="I44" s="5">
        <f t="shared" si="0"/>
        <v>1989.4199999999998</v>
      </c>
      <c r="J44" s="3"/>
    </row>
    <row r="45" spans="1:10" ht="30" customHeight="1" x14ac:dyDescent="0.25">
      <c r="A45" s="21" t="s">
        <v>19</v>
      </c>
      <c r="B45" s="40">
        <v>202511</v>
      </c>
      <c r="C45" s="22" t="s">
        <v>9</v>
      </c>
      <c r="D45" s="49" t="s">
        <v>102</v>
      </c>
      <c r="E45" s="35" t="s">
        <v>11</v>
      </c>
      <c r="F45" s="35" t="s">
        <v>103</v>
      </c>
      <c r="G45" s="2">
        <f>7-H45</f>
        <v>7</v>
      </c>
      <c r="H45" s="4">
        <v>0</v>
      </c>
      <c r="I45" s="5">
        <f t="shared" si="0"/>
        <v>1547.3266666666666</v>
      </c>
      <c r="J45" s="3"/>
    </row>
    <row r="46" spans="1:10" ht="30" customHeight="1" x14ac:dyDescent="0.25">
      <c r="A46" s="21" t="s">
        <v>19</v>
      </c>
      <c r="B46" s="40">
        <v>202513</v>
      </c>
      <c r="C46" s="22" t="s">
        <v>9</v>
      </c>
      <c r="D46" s="49" t="s">
        <v>104</v>
      </c>
      <c r="E46" s="35" t="s">
        <v>89</v>
      </c>
      <c r="F46" s="35" t="s">
        <v>105</v>
      </c>
      <c r="G46" s="2">
        <f>6-H46</f>
        <v>6</v>
      </c>
      <c r="H46" s="4">
        <v>0</v>
      </c>
      <c r="I46" s="5">
        <f t="shared" si="0"/>
        <v>1326.28</v>
      </c>
      <c r="J46" s="3"/>
    </row>
    <row r="47" spans="1:10" ht="30" customHeight="1" x14ac:dyDescent="0.25">
      <c r="A47" s="21" t="s">
        <v>19</v>
      </c>
      <c r="B47" s="40">
        <v>202514</v>
      </c>
      <c r="C47" s="22" t="s">
        <v>9</v>
      </c>
      <c r="D47" s="49" t="s">
        <v>106</v>
      </c>
      <c r="E47" s="35" t="s">
        <v>55</v>
      </c>
      <c r="F47" s="35" t="s">
        <v>24</v>
      </c>
      <c r="G47" s="2">
        <f>6-H47</f>
        <v>6</v>
      </c>
      <c r="H47" s="4">
        <v>0</v>
      </c>
      <c r="I47" s="5">
        <f t="shared" si="0"/>
        <v>1326.28</v>
      </c>
      <c r="J47" s="3"/>
    </row>
    <row r="48" spans="1:10" s="9" customFormat="1" ht="30" customHeight="1" x14ac:dyDescent="0.25">
      <c r="A48" s="16"/>
      <c r="B48" s="16"/>
      <c r="C48" s="18"/>
      <c r="D48" s="25"/>
      <c r="E48" s="20"/>
      <c r="F48" s="20"/>
      <c r="G48" s="18"/>
      <c r="H48" s="26"/>
      <c r="I48" s="27"/>
      <c r="J48" s="16"/>
    </row>
    <row r="49" spans="1:10" s="9" customFormat="1" ht="30" customHeight="1" x14ac:dyDescent="0.25">
      <c r="A49" s="16"/>
      <c r="B49" s="17"/>
      <c r="C49" s="18"/>
      <c r="D49" s="19"/>
      <c r="E49" s="20"/>
      <c r="F49" s="20"/>
      <c r="G49" s="15"/>
      <c r="H49" s="15"/>
      <c r="I49" s="15"/>
      <c r="J49" s="12"/>
    </row>
    <row r="50" spans="1:10" ht="16.2" customHeight="1" x14ac:dyDescent="0.25"/>
    <row r="51" spans="1:10" ht="16.2" customHeight="1" x14ac:dyDescent="0.25"/>
    <row r="52" spans="1:10" ht="16.2" customHeight="1" x14ac:dyDescent="0.25"/>
    <row r="53" spans="1:10" ht="16.2" customHeight="1" x14ac:dyDescent="0.25"/>
    <row r="54" spans="1:10" ht="16.2" customHeight="1" x14ac:dyDescent="0.25"/>
    <row r="55" spans="1:10" ht="16.2" customHeight="1" x14ac:dyDescent="0.25"/>
    <row r="56" spans="1:10" ht="16.2" customHeight="1" x14ac:dyDescent="0.25"/>
  </sheetData>
  <autoFilter ref="A6:J47"/>
  <sortState ref="A50:K146">
    <sortCondition ref="F50:F146"/>
    <sortCondition ref="B50:B146"/>
  </sortState>
  <mergeCells count="4">
    <mergeCell ref="H4:I4"/>
    <mergeCell ref="A1:J1"/>
    <mergeCell ref="A2:J2"/>
    <mergeCell ref="A3:J3"/>
  </mergeCells>
  <printOptions horizontalCentered="1"/>
  <pageMargins left="0.19685039370078741" right="0.19685039370078741" top="0.39370078740157483" bottom="0.39370078740157483" header="0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2025-10-01T09:58:39Z</cp:lastPrinted>
  <dcterms:created xsi:type="dcterms:W3CDTF">2023-11-23T05:47:02Z</dcterms:created>
  <dcterms:modified xsi:type="dcterms:W3CDTF">2025-10-01T09:58:57Z</dcterms:modified>
</cp:coreProperties>
</file>